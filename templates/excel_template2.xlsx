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fenomenonum-my.sharepoint.com/personal/joana_andrino_fenomenonumerico_pt/Documents/Partilha/Documentos Internos/Mapas de Ajudas de Custo/"/>
    </mc:Choice>
  </mc:AlternateContent>
  <xr:revisionPtr revIDLastSave="233" documentId="13_ncr:1_{02E58FF1-87C3-47D7-80C9-634B51E5A795}" xr6:coauthVersionLast="47" xr6:coauthVersionMax="47" xr10:uidLastSave="{393D93AE-58B7-478E-B9EA-2C9DBBF56EEB}"/>
  <bookViews>
    <workbookView xWindow="-23148" yWindow="-108" windowWidth="23256" windowHeight="13896" xr2:uid="{00000000-000D-0000-FFFF-FFFF00000000}"/>
  </bookViews>
  <sheets>
    <sheet name="Ajudas Custo" sheetId="5" r:id="rId1"/>
    <sheet name="Folha2" sheetId="9" r:id="rId2"/>
  </sheets>
  <definedNames>
    <definedName name="_xlnm.Print_Area" localSheetId="0">'Ajudas Custo'!$A$1:$N$49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G10" i="5"/>
  <c r="H10" i="5"/>
  <c r="I10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I20" i="5"/>
  <c r="F21" i="5"/>
  <c r="G21" i="5"/>
  <c r="H21" i="5"/>
  <c r="I21" i="5"/>
  <c r="F22" i="5"/>
  <c r="G22" i="5"/>
  <c r="H22" i="5"/>
  <c r="I22" i="5"/>
  <c r="F23" i="5"/>
  <c r="G23" i="5"/>
  <c r="H23" i="5"/>
  <c r="I23" i="5"/>
  <c r="F24" i="5"/>
  <c r="G24" i="5"/>
  <c r="H24" i="5"/>
  <c r="I24" i="5"/>
  <c r="F25" i="5"/>
  <c r="G25" i="5"/>
  <c r="H25" i="5"/>
  <c r="I25" i="5"/>
  <c r="F26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I8" i="5"/>
  <c r="H8" i="5"/>
  <c r="G8" i="5"/>
  <c r="F8" i="5"/>
  <c r="N32" i="5"/>
  <c r="N38" i="5"/>
  <c r="L38" i="5"/>
  <c r="K38" i="5"/>
  <c r="N10" i="5"/>
  <c r="L23" i="5"/>
  <c r="K23" i="5"/>
  <c r="L22" i="5"/>
  <c r="K22" i="5"/>
  <c r="L21" i="5"/>
  <c r="K21" i="5"/>
  <c r="L20" i="5"/>
  <c r="K20" i="5"/>
  <c r="L19" i="5"/>
  <c r="K19" i="5"/>
  <c r="L16" i="5"/>
  <c r="K16" i="5"/>
  <c r="L15" i="5"/>
  <c r="K15" i="5"/>
  <c r="L14" i="5"/>
  <c r="K14" i="5"/>
  <c r="L13" i="5"/>
  <c r="K13" i="5"/>
  <c r="L12" i="5"/>
  <c r="K12" i="5"/>
  <c r="L32" i="5"/>
  <c r="K32" i="5"/>
  <c r="N31" i="5"/>
  <c r="L31" i="5"/>
  <c r="K31" i="5"/>
  <c r="N30" i="5"/>
  <c r="L30" i="5"/>
  <c r="K30" i="5"/>
  <c r="N29" i="5"/>
  <c r="L29" i="5"/>
  <c r="K29" i="5"/>
  <c r="N28" i="5"/>
  <c r="L28" i="5"/>
  <c r="K28" i="5"/>
  <c r="N18" i="5"/>
  <c r="L18" i="5"/>
  <c r="K18" i="5"/>
  <c r="N17" i="5"/>
  <c r="L17" i="5"/>
  <c r="K17" i="5"/>
  <c r="N16" i="5"/>
  <c r="N15" i="5"/>
  <c r="N14" i="5"/>
  <c r="L35" i="5"/>
  <c r="K35" i="5"/>
  <c r="L34" i="5"/>
  <c r="K34" i="5"/>
  <c r="L33" i="5"/>
  <c r="K33" i="5"/>
  <c r="L27" i="5"/>
  <c r="K27" i="5"/>
  <c r="L26" i="5"/>
  <c r="K26" i="5"/>
  <c r="L25" i="5"/>
  <c r="K25" i="5"/>
  <c r="L24" i="5"/>
  <c r="K24" i="5"/>
  <c r="L11" i="5"/>
  <c r="K11" i="5"/>
  <c r="L10" i="5"/>
  <c r="K10" i="5"/>
  <c r="L37" i="5" l="1"/>
  <c r="K37" i="5"/>
  <c r="L36" i="5"/>
  <c r="K36" i="5"/>
  <c r="L9" i="5" l="1"/>
  <c r="K9" i="5"/>
  <c r="I9" i="5"/>
  <c r="H9" i="5"/>
  <c r="G9" i="5"/>
  <c r="F9" i="5"/>
  <c r="N35" i="5" l="1"/>
  <c r="N34" i="5"/>
  <c r="N33" i="5"/>
  <c r="N27" i="5"/>
  <c r="N26" i="5"/>
  <c r="N25" i="5"/>
  <c r="N22" i="5"/>
  <c r="N21" i="5"/>
  <c r="N20" i="5"/>
  <c r="N19" i="5"/>
  <c r="N13" i="5"/>
  <c r="N12" i="5"/>
  <c r="N11" i="5"/>
  <c r="L8" i="5"/>
  <c r="K8" i="5"/>
  <c r="N24" i="5" l="1"/>
  <c r="N23" i="5"/>
  <c r="N9" i="5"/>
  <c r="N8" i="5"/>
  <c r="N37" i="5"/>
  <c r="N36" i="5"/>
  <c r="N39" i="5" l="1"/>
</calcChain>
</file>

<file path=xl/sharedStrings.xml><?xml version="1.0" encoding="utf-8"?>
<sst xmlns="http://schemas.openxmlformats.org/spreadsheetml/2006/main" count="32" uniqueCount="31">
  <si>
    <t>Empresa:</t>
  </si>
  <si>
    <t>AJUDAS DE CUSTO
NACIONAIS</t>
  </si>
  <si>
    <t>Recibo</t>
  </si>
  <si>
    <t>Mês</t>
  </si>
  <si>
    <t>Ano:</t>
  </si>
  <si>
    <t>Nº Contribuinte:</t>
  </si>
  <si>
    <t>Serviço efectuado</t>
  </si>
  <si>
    <t>Localidade</t>
  </si>
  <si>
    <t>SAÍDA</t>
  </si>
  <si>
    <t>CHEGADA</t>
  </si>
  <si>
    <t>Percen-</t>
  </si>
  <si>
    <t>VALOR ( € )</t>
  </si>
  <si>
    <t>com direito a Ajudas de Custo</t>
  </si>
  <si>
    <t>onde foi prestado</t>
  </si>
  <si>
    <t>HH,MM</t>
  </si>
  <si>
    <t>tagem</t>
  </si>
  <si>
    <t>Mod. ORGA</t>
  </si>
  <si>
    <t>Valor Total ( EUROS ):</t>
  </si>
  <si>
    <t>Identificação do Empregado:</t>
  </si>
  <si>
    <t>Nome:</t>
  </si>
  <si>
    <t>Valor Diário de Ajudas de Custo:</t>
  </si>
  <si>
    <t>Morada:</t>
  </si>
  <si>
    <t>Conforme Tabela</t>
  </si>
  <si>
    <t>Nº Fiscal de contribuinte:</t>
  </si>
  <si>
    <t>Recebi a importância supra, referente a Ajudas de Custo.</t>
  </si>
  <si>
    <t>Assinatura:</t>
  </si>
  <si>
    <t>_________________________________________________________________</t>
  </si>
  <si>
    <t>Data:</t>
  </si>
  <si>
    <t xml:space="preserve">Dia da Saída: </t>
  </si>
  <si>
    <t>Di+A6:A37a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</si>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</sst>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25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 Narrow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 Narrow"/>
      <family val="2"/>
    </font>
    <font>
      <sz val="12"/>
      <name val="Arial"/>
      <family val="2"/>
    </font>
    <font>
      <sz val="10"/>
      <name val="Arial Narrow"/>
      <family val="2"/>
    </font>
    <font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sz val="8"/>
      <color indexed="10"/>
      <name val="Arial"/>
      <family val="2"/>
    </font>
    <font>
      <b/>
      <i/>
      <sz val="10"/>
      <color indexed="12"/>
      <name val="Times New Roman"/>
      <family val="1"/>
    </font>
    <font>
      <b/>
      <i/>
      <sz val="9"/>
      <name val="Times New Roman"/>
      <family val="1"/>
    </font>
    <font>
      <sz val="9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 applyAlignment="1">
      <alignment horizontal="centerContinuous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centerContinuous"/>
    </xf>
    <xf numFmtId="0" fontId="0" fillId="0" borderId="7" xfId="0" applyBorder="1"/>
    <xf numFmtId="0" fontId="4" fillId="0" borderId="8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8" fillId="0" borderId="12" xfId="0" applyFont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9" fillId="3" borderId="12" xfId="0" applyFont="1" applyFill="1" applyBorder="1" applyAlignment="1" applyProtection="1">
      <alignment horizontal="center"/>
      <protection locked="0"/>
    </xf>
    <xf numFmtId="0" fontId="11" fillId="3" borderId="14" xfId="0" applyFont="1" applyFill="1" applyBorder="1" applyAlignment="1" applyProtection="1">
      <alignment horizontal="center" vertical="center"/>
      <protection locked="0"/>
    </xf>
    <xf numFmtId="9" fontId="11" fillId="0" borderId="14" xfId="1" applyFont="1" applyBorder="1" applyAlignment="1" applyProtection="1">
      <alignment horizontal="center" vertical="center"/>
    </xf>
    <xf numFmtId="8" fontId="12" fillId="0" borderId="14" xfId="0" quotePrefix="1" applyNumberFormat="1" applyFont="1" applyBorder="1" applyAlignment="1">
      <alignment horizontal="right" vertical="center"/>
    </xf>
    <xf numFmtId="0" fontId="11" fillId="0" borderId="12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8" fontId="15" fillId="0" borderId="15" xfId="0" quotePrefix="1" applyNumberFormat="1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centerContinuous"/>
    </xf>
    <xf numFmtId="0" fontId="16" fillId="0" borderId="0" xfId="0" applyFont="1" applyAlignment="1" applyProtection="1">
      <alignment horizontal="right" vertical="center"/>
      <protection locked="0"/>
    </xf>
    <xf numFmtId="164" fontId="15" fillId="4" borderId="1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Continuous"/>
    </xf>
    <xf numFmtId="0" fontId="17" fillId="0" borderId="0" xfId="0" applyFont="1" applyAlignment="1">
      <alignment horizontal="center" vertical="top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0" fillId="0" borderId="9" xfId="0" applyFont="1" applyBorder="1" applyAlignment="1">
      <alignment horizontal="center" vertical="center"/>
    </xf>
    <xf numFmtId="14" fontId="22" fillId="0" borderId="1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0" fillId="0" borderId="0" xfId="0" applyAlignment="1">
      <alignment horizontal="center" textRotation="255"/>
    </xf>
    <xf numFmtId="0" fontId="24" fillId="0" borderId="0" xfId="0" applyFont="1"/>
    <xf numFmtId="0" fontId="11" fillId="0" borderId="9" xfId="0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left" vertical="center"/>
      <protection locked="0"/>
    </xf>
    <xf numFmtId="0" fontId="0" fillId="5" borderId="0" xfId="0" applyFill="1"/>
    <xf numFmtId="0" fontId="13" fillId="5" borderId="0" xfId="0" applyFont="1" applyFill="1" applyAlignment="1">
      <alignment horizontal="left" vertical="center"/>
    </xf>
    <xf numFmtId="0" fontId="0" fillId="5" borderId="6" xfId="0" applyFill="1" applyBorder="1"/>
    <xf numFmtId="0" fontId="9" fillId="5" borderId="0" xfId="0" applyFont="1" applyFill="1" applyAlignment="1">
      <alignment horizontal="right"/>
    </xf>
    <xf numFmtId="20" fontId="11" fillId="0" borderId="12" xfId="0" applyNumberFormat="1" applyFont="1" applyBorder="1" applyAlignment="1" applyProtection="1">
      <alignment horizontal="center" vertical="center"/>
      <protection locked="0"/>
    </xf>
    <xf numFmtId="0" fontId="1" fillId="5" borderId="0" xfId="0" applyFont="1" applyFill="1"/>
    <xf numFmtId="0" fontId="1" fillId="0" borderId="0" xfId="0" applyFont="1"/>
    <xf numFmtId="0" fontId="1" fillId="0" borderId="7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5" borderId="0" xfId="0" applyFont="1" applyFill="1"/>
    <xf numFmtId="0" fontId="8" fillId="0" borderId="0" xfId="0" applyFont="1"/>
    <xf numFmtId="0" fontId="14" fillId="0" borderId="0" xfId="0" applyFont="1"/>
    <xf numFmtId="0" fontId="14" fillId="0" borderId="0" xfId="0" applyFont="1" applyAlignment="1" applyProtection="1">
      <alignment horizontal="left"/>
      <protection locked="0"/>
    </xf>
    <xf numFmtId="0" fontId="8" fillId="5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0" fontId="14" fillId="2" borderId="12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4" fillId="2" borderId="9" xfId="0" applyFont="1" applyFill="1" applyBorder="1" applyAlignment="1" applyProtection="1">
      <alignment horizontal="left" vertical="center"/>
      <protection locked="0"/>
    </xf>
    <xf numFmtId="0" fontId="14" fillId="2" borderId="10" xfId="0" applyFont="1" applyFill="1" applyBorder="1" applyAlignment="1" applyProtection="1">
      <alignment horizontal="left" vertical="center"/>
      <protection locked="0"/>
    </xf>
    <xf numFmtId="0" fontId="14" fillId="2" borderId="11" xfId="0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>
      <alignment horizontal="center"/>
    </xf>
    <xf numFmtId="0" fontId="11" fillId="0" borderId="9" xfId="0" applyFont="1" applyBorder="1" applyAlignment="1" applyProtection="1">
      <alignment horizontal="left" vertical="center"/>
      <protection locked="0"/>
    </xf>
    <xf numFmtId="0" fontId="11" fillId="0" borderId="11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5" fillId="2" borderId="0" xfId="0" applyFont="1" applyFill="1" applyAlignment="1">
      <alignment horizontal="center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49" fontId="6" fillId="0" borderId="9" xfId="0" applyNumberFormat="1" applyFont="1" applyBorder="1" applyAlignment="1" applyProtection="1">
      <alignment horizontal="center"/>
      <protection locked="0"/>
    </xf>
    <xf numFmtId="49" fontId="6" fillId="0" borderId="10" xfId="0" applyNumberFormat="1" applyFont="1" applyBorder="1" applyAlignment="1" applyProtection="1">
      <alignment horizontal="center"/>
      <protection locked="0"/>
    </xf>
    <xf numFmtId="49" fontId="6" fillId="0" borderId="11" xfId="0" applyNumberFormat="1" applyFont="1" applyBorder="1" applyAlignment="1" applyProtection="1">
      <alignment horizontal="center"/>
      <protection locked="0"/>
    </xf>
    <xf numFmtId="0" fontId="7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0"/>
  <sheetViews>
    <sheetView showGridLines="0" tabSelected="1" topLeftCell="A18" workbookViewId="0">
      <selection activeCell="A36" sqref="A36"/>
    </sheetView>
  </sheetViews>
  <sheetFormatPr defaultRowHeight="12.75" x14ac:dyDescent="0.2"/>
  <cols>
    <col min="1" max="1" width="7" style="37" customWidth="1"/>
    <col min="2" max="2" width="11.140625" customWidth="1"/>
    <col min="3" max="3" width="23.5703125" customWidth="1"/>
    <col min="4" max="4" width="28.42578125" customWidth="1"/>
    <col min="5" max="5" width="9.140625" customWidth="1"/>
    <col min="6" max="9" width="6.140625" hidden="1" customWidth="1"/>
    <col min="10" max="10" width="8.42578125" customWidth="1"/>
    <col min="11" max="12" width="7.7109375" hidden="1" customWidth="1"/>
    <col min="13" max="13" width="8.7109375" customWidth="1"/>
    <col min="14" max="14" width="13" customWidth="1"/>
    <col min="15" max="15" width="8.7109375" customWidth="1"/>
    <col min="16" max="16" width="5.7109375" customWidth="1"/>
  </cols>
  <sheetData>
    <row r="1" spans="1:14" ht="46.5" customHeight="1" x14ac:dyDescent="0.35">
      <c r="A1" s="42" t="s">
        <v>0</v>
      </c>
      <c r="B1" s="43"/>
      <c r="C1" s="43"/>
      <c r="I1" s="1"/>
      <c r="J1" s="68" t="s">
        <v>1</v>
      </c>
      <c r="K1" s="69"/>
      <c r="L1" s="69"/>
      <c r="M1" s="69"/>
      <c r="N1" s="69"/>
    </row>
    <row r="2" spans="1:14" ht="23.25" x14ac:dyDescent="0.35">
      <c r="A2" s="70"/>
      <c r="B2" s="71"/>
      <c r="C2" s="71"/>
      <c r="D2" s="72"/>
      <c r="E2" s="2"/>
      <c r="F2" s="2"/>
      <c r="G2" s="2"/>
      <c r="H2" s="2"/>
      <c r="I2" s="3"/>
      <c r="J2" s="73" t="s">
        <v>2</v>
      </c>
      <c r="K2" s="73"/>
      <c r="L2" s="73"/>
      <c r="M2" s="73"/>
      <c r="N2" s="73"/>
    </row>
    <row r="3" spans="1:14" ht="23.25" customHeight="1" x14ac:dyDescent="0.25">
      <c r="A3" s="74"/>
      <c r="B3" s="75"/>
      <c r="C3" s="75"/>
      <c r="D3" s="76"/>
      <c r="E3" s="2"/>
      <c r="F3" s="2"/>
      <c r="G3" s="2"/>
      <c r="H3" s="2"/>
      <c r="J3" t="s">
        <v>3</v>
      </c>
      <c r="N3" t="s">
        <v>4</v>
      </c>
    </row>
    <row r="4" spans="1:14" ht="23.25" customHeight="1" x14ac:dyDescent="0.25">
      <c r="A4" s="39"/>
      <c r="B4" s="4"/>
      <c r="C4" s="44" t="s">
        <v>5</v>
      </c>
      <c r="D4" s="5"/>
      <c r="E4" s="6"/>
      <c r="F4" s="6"/>
      <c r="G4" s="6"/>
      <c r="H4" s="6"/>
      <c r="J4" s="77" t="s">
        <v>30</v>
      </c>
      <c r="K4" s="78"/>
      <c r="L4" s="78"/>
      <c r="M4" s="79"/>
      <c r="N4" s="7">
        <v>2026</v>
      </c>
    </row>
    <row r="6" spans="1:14" ht="15" customHeight="1" x14ac:dyDescent="0.2">
      <c r="A6" s="83" t="s">
        <v>29</v>
      </c>
      <c r="B6" s="85" t="s">
        <v>6</v>
      </c>
      <c r="C6" s="86"/>
      <c r="D6" s="45" t="s">
        <v>7</v>
      </c>
      <c r="E6" s="59" t="s">
        <v>8</v>
      </c>
      <c r="F6" s="60"/>
      <c r="G6" s="60"/>
      <c r="H6" s="60"/>
      <c r="I6" s="61"/>
      <c r="J6" s="59" t="s">
        <v>9</v>
      </c>
      <c r="K6" s="60"/>
      <c r="L6" s="60"/>
      <c r="M6" s="45" t="s">
        <v>10</v>
      </c>
      <c r="N6" s="80" t="s">
        <v>11</v>
      </c>
    </row>
    <row r="7" spans="1:14" ht="13.5" x14ac:dyDescent="0.25">
      <c r="A7" s="84"/>
      <c r="B7" s="81" t="s">
        <v>12</v>
      </c>
      <c r="C7" s="82"/>
      <c r="D7" s="46" t="s">
        <v>13</v>
      </c>
      <c r="E7" s="8" t="s">
        <v>14</v>
      </c>
      <c r="F7" s="9"/>
      <c r="G7" s="10"/>
      <c r="H7" s="10">
        <v>13</v>
      </c>
      <c r="I7" s="9">
        <v>21</v>
      </c>
      <c r="J7" s="8" t="s">
        <v>14</v>
      </c>
      <c r="K7" s="9"/>
      <c r="L7" s="9"/>
      <c r="M7" s="46" t="s">
        <v>15</v>
      </c>
      <c r="N7" s="80"/>
    </row>
    <row r="8" spans="1:14" ht="18" customHeight="1" x14ac:dyDescent="0.2">
      <c r="A8" s="56">
        <v>1</v>
      </c>
      <c r="B8" s="66"/>
      <c r="C8" s="67"/>
      <c r="D8" s="14"/>
      <c r="E8" s="41">
        <v>0.375</v>
      </c>
      <c r="F8" s="11" t="b">
        <f t="shared" ref="F8:F38" si="0">(IF($E8=0,-100%))</f>
        <v>0</v>
      </c>
      <c r="G8" s="11">
        <f t="shared" ref="G8:G38" si="1">(IF($E8&lt;$H$7,25%))</f>
        <v>0.25</v>
      </c>
      <c r="H8" s="11">
        <f t="shared" ref="H8:H38" si="2">(IF($E8&lt;=$I$7, 25%))</f>
        <v>0.25</v>
      </c>
      <c r="I8" s="11">
        <f t="shared" ref="I8" si="3">(IF(E8&lt;=24,50%))</f>
        <v>0.5</v>
      </c>
      <c r="J8" s="41">
        <v>0.91666666666666663</v>
      </c>
      <c r="K8" s="11" t="b">
        <f t="shared" ref="K8" si="4">(IF(J8&gt;13,25%))</f>
        <v>0</v>
      </c>
      <c r="L8" s="11" t="b">
        <f t="shared" ref="L8" si="5">(IF(J8&gt;20,25%))</f>
        <v>0</v>
      </c>
      <c r="M8" s="12">
        <v>0</v>
      </c>
      <c r="N8" s="13">
        <f t="shared" ref="N8:N18" si="6">$N$42*M8</f>
        <v>0</v>
      </c>
    </row>
    <row r="9" spans="1:14" ht="18" customHeight="1" x14ac:dyDescent="0.2">
      <c r="A9" s="57">
        <v>2</v>
      </c>
      <c r="B9" s="66"/>
      <c r="C9" s="67"/>
      <c r="D9" s="14"/>
      <c r="E9" s="41">
        <v>0.375</v>
      </c>
      <c r="F9" s="11" t="b">
        <f t="shared" ref="F9:F37" si="7">(IF($E9=0,-100%))</f>
        <v>0</v>
      </c>
      <c r="G9" s="11">
        <f t="shared" ref="G9:G37" si="8">(IF($E9&lt;$H$7,25%))</f>
        <v>0.25</v>
      </c>
      <c r="H9" s="11">
        <f t="shared" ref="H9:H37" si="9">(IF($E9&lt;=$I$7, 25%))</f>
        <v>0.25</v>
      </c>
      <c r="I9" s="11">
        <f t="shared" ref="I9:I10" si="10">(IF(E9&lt;=24,50%))</f>
        <v>0.5</v>
      </c>
      <c r="J9" s="41">
        <v>0.91666666666666663</v>
      </c>
      <c r="K9" s="11" t="b">
        <f t="shared" ref="K9:K23" si="11">(IF(J9&gt;13,25%))</f>
        <v>0</v>
      </c>
      <c r="L9" s="11" t="b">
        <f t="shared" ref="L9:L23" si="12">(IF(J9&gt;20,25%))</f>
        <v>0</v>
      </c>
      <c r="M9" s="12">
        <v>0</v>
      </c>
      <c r="N9" s="13">
        <f t="shared" si="6"/>
        <v>0</v>
      </c>
    </row>
    <row r="10" spans="1:14" ht="18" customHeight="1" x14ac:dyDescent="0.2">
      <c r="A10" s="58">
        <v>3</v>
      </c>
      <c r="B10" s="66"/>
      <c r="C10" s="67"/>
      <c r="D10" s="14"/>
      <c r="E10" s="41">
        <v>0.375</v>
      </c>
      <c r="F10" s="11" t="b">
        <f t="shared" si="0"/>
        <v>0</v>
      </c>
      <c r="G10" s="11">
        <f t="shared" si="1"/>
        <v>0.25</v>
      </c>
      <c r="H10" s="11">
        <f t="shared" si="2"/>
        <v>0.25</v>
      </c>
      <c r="I10" s="11">
        <f t="shared" si="10"/>
        <v>0.5</v>
      </c>
      <c r="J10" s="41">
        <v>0.91666666666666696</v>
      </c>
      <c r="K10" s="11" t="b">
        <f t="shared" si="11"/>
        <v>0</v>
      </c>
      <c r="L10" s="11" t="b">
        <f t="shared" si="12"/>
        <v>0</v>
      </c>
      <c r="M10" s="12">
        <v>0</v>
      </c>
      <c r="N10" s="13">
        <f>$N$42*M10</f>
        <v>0</v>
      </c>
    </row>
    <row r="11" spans="1:14" ht="18" customHeight="1" x14ac:dyDescent="0.2">
      <c r="A11" s="58">
        <v>4</v>
      </c>
      <c r="B11" s="66"/>
      <c r="C11" s="67"/>
      <c r="D11" s="14"/>
      <c r="E11" s="41">
        <v>0.375</v>
      </c>
      <c r="F11" s="11" t="b">
        <f t="shared" si="7"/>
        <v>0</v>
      </c>
      <c r="G11" s="11">
        <f t="shared" si="8"/>
        <v>0.25</v>
      </c>
      <c r="H11" s="11">
        <f t="shared" si="9"/>
        <v>0.25</v>
      </c>
      <c r="I11" s="11">
        <f t="shared" ref="I11:I38" si="13">(IF(E11&lt;=24,50%))</f>
        <v>0.5</v>
      </c>
      <c r="J11" s="41">
        <v>0.91666666666666696</v>
      </c>
      <c r="K11" s="11" t="b">
        <f t="shared" si="11"/>
        <v>0</v>
      </c>
      <c r="L11" s="11" t="b">
        <f t="shared" si="12"/>
        <v>0</v>
      </c>
      <c r="M11" s="12">
        <v>0</v>
      </c>
      <c r="N11" s="13">
        <f t="shared" si="6"/>
        <v>0</v>
      </c>
    </row>
    <row r="12" spans="1:14" ht="18" customHeight="1" x14ac:dyDescent="0.2">
      <c r="A12" s="58">
        <v>5</v>
      </c>
      <c r="B12" s="66"/>
      <c r="C12" s="67"/>
      <c r="D12" s="14"/>
      <c r="E12" s="41">
        <v>0.375</v>
      </c>
      <c r="F12" s="11" t="b">
        <f t="shared" si="0"/>
        <v>0</v>
      </c>
      <c r="G12" s="11">
        <f t="shared" si="1"/>
        <v>0.25</v>
      </c>
      <c r="H12" s="11">
        <f t="shared" si="2"/>
        <v>0.25</v>
      </c>
      <c r="I12" s="11">
        <f t="shared" si="13"/>
        <v>0.5</v>
      </c>
      <c r="J12" s="41">
        <v>0.91666666666666696</v>
      </c>
      <c r="K12" s="11" t="b">
        <f t="shared" ref="K12:K16" si="14">(IF(J12&gt;13,25%))</f>
        <v>0</v>
      </c>
      <c r="L12" s="11" t="b">
        <f t="shared" ref="L12:L16" si="15">(IF(J12&gt;20,25%))</f>
        <v>0</v>
      </c>
      <c r="M12" s="12">
        <v>0</v>
      </c>
      <c r="N12" s="13">
        <f t="shared" si="6"/>
        <v>0</v>
      </c>
    </row>
    <row r="13" spans="1:14" ht="18" customHeight="1" x14ac:dyDescent="0.2">
      <c r="A13" s="58">
        <v>6</v>
      </c>
      <c r="B13" s="66"/>
      <c r="C13" s="67"/>
      <c r="D13" s="14"/>
      <c r="E13" s="41">
        <v>0.375</v>
      </c>
      <c r="F13" s="11" t="b">
        <f t="shared" si="7"/>
        <v>0</v>
      </c>
      <c r="G13" s="11">
        <f t="shared" si="8"/>
        <v>0.25</v>
      </c>
      <c r="H13" s="11">
        <f t="shared" si="9"/>
        <v>0.25</v>
      </c>
      <c r="I13" s="11">
        <f t="shared" si="13"/>
        <v>0.5</v>
      </c>
      <c r="J13" s="41">
        <v>0.91666666666666696</v>
      </c>
      <c r="K13" s="11" t="b">
        <f t="shared" si="14"/>
        <v>0</v>
      </c>
      <c r="L13" s="11" t="b">
        <f t="shared" si="15"/>
        <v>0</v>
      </c>
      <c r="M13" s="12">
        <v>0</v>
      </c>
      <c r="N13" s="13">
        <f t="shared" si="6"/>
        <v>0</v>
      </c>
    </row>
    <row r="14" spans="1:14" ht="18" customHeight="1" x14ac:dyDescent="0.2">
      <c r="A14" s="55">
        <v>7</v>
      </c>
      <c r="B14" s="66"/>
      <c r="C14" s="67"/>
      <c r="D14" s="14"/>
      <c r="E14" s="41">
        <v>0.375</v>
      </c>
      <c r="F14" s="11" t="b">
        <f t="shared" si="0"/>
        <v>0</v>
      </c>
      <c r="G14" s="11">
        <f t="shared" si="1"/>
        <v>0.25</v>
      </c>
      <c r="H14" s="11">
        <f t="shared" si="2"/>
        <v>0.25</v>
      </c>
      <c r="I14" s="11">
        <f t="shared" si="13"/>
        <v>0.5</v>
      </c>
      <c r="J14" s="41">
        <v>0.91666666666666696</v>
      </c>
      <c r="K14" s="11" t="b">
        <f t="shared" si="14"/>
        <v>0</v>
      </c>
      <c r="L14" s="11" t="b">
        <f t="shared" si="15"/>
        <v>0</v>
      </c>
      <c r="M14" s="12">
        <v>0</v>
      </c>
      <c r="N14" s="13">
        <f t="shared" si="6"/>
        <v>0</v>
      </c>
    </row>
    <row r="15" spans="1:14" ht="18" customHeight="1" x14ac:dyDescent="0.2">
      <c r="A15" s="56">
        <v>8</v>
      </c>
      <c r="B15" s="66"/>
      <c r="C15" s="67"/>
      <c r="D15" s="14"/>
      <c r="E15" s="41">
        <v>0.375</v>
      </c>
      <c r="F15" s="11" t="b">
        <f t="shared" si="7"/>
        <v>0</v>
      </c>
      <c r="G15" s="11">
        <f t="shared" si="8"/>
        <v>0.25</v>
      </c>
      <c r="H15" s="11">
        <f t="shared" si="9"/>
        <v>0.25</v>
      </c>
      <c r="I15" s="11">
        <f t="shared" si="13"/>
        <v>0.5</v>
      </c>
      <c r="J15" s="41">
        <v>0.91666666666666696</v>
      </c>
      <c r="K15" s="11" t="b">
        <f t="shared" si="14"/>
        <v>0</v>
      </c>
      <c r="L15" s="11" t="b">
        <f t="shared" si="15"/>
        <v>0</v>
      </c>
      <c r="M15" s="12">
        <v>0</v>
      </c>
      <c r="N15" s="13">
        <f t="shared" si="6"/>
        <v>0</v>
      </c>
    </row>
    <row r="16" spans="1:14" ht="18" customHeight="1" x14ac:dyDescent="0.2">
      <c r="A16" s="57">
        <v>9</v>
      </c>
      <c r="B16" s="66"/>
      <c r="C16" s="67"/>
      <c r="D16" s="14"/>
      <c r="E16" s="41">
        <v>0.375</v>
      </c>
      <c r="F16" s="11" t="b">
        <f t="shared" si="0"/>
        <v>0</v>
      </c>
      <c r="G16" s="11">
        <f t="shared" si="1"/>
        <v>0.25</v>
      </c>
      <c r="H16" s="11">
        <f t="shared" si="2"/>
        <v>0.25</v>
      </c>
      <c r="I16" s="11">
        <f t="shared" si="13"/>
        <v>0.5</v>
      </c>
      <c r="J16" s="41">
        <v>0.91666666666666696</v>
      </c>
      <c r="K16" s="11" t="b">
        <f t="shared" si="14"/>
        <v>0</v>
      </c>
      <c r="L16" s="11" t="b">
        <f t="shared" si="15"/>
        <v>0</v>
      </c>
      <c r="M16" s="12">
        <v>0</v>
      </c>
      <c r="N16" s="13">
        <f t="shared" si="6"/>
        <v>0</v>
      </c>
    </row>
    <row r="17" spans="1:14" ht="18" customHeight="1" x14ac:dyDescent="0.2">
      <c r="A17" s="58">
        <v>10</v>
      </c>
      <c r="B17" s="66"/>
      <c r="C17" s="67"/>
      <c r="D17" s="14"/>
      <c r="E17" s="41">
        <v>0.375</v>
      </c>
      <c r="F17" s="11" t="b">
        <f t="shared" si="7"/>
        <v>0</v>
      </c>
      <c r="G17" s="11">
        <f t="shared" si="8"/>
        <v>0.25</v>
      </c>
      <c r="H17" s="11">
        <f t="shared" si="9"/>
        <v>0.25</v>
      </c>
      <c r="I17" s="11">
        <f t="shared" si="13"/>
        <v>0.5</v>
      </c>
      <c r="J17" s="41">
        <v>0.91666666666666696</v>
      </c>
      <c r="K17" s="11" t="b">
        <f t="shared" si="11"/>
        <v>0</v>
      </c>
      <c r="L17" s="11" t="b">
        <f t="shared" si="12"/>
        <v>0</v>
      </c>
      <c r="M17" s="12">
        <v>0</v>
      </c>
      <c r="N17" s="13">
        <f t="shared" si="6"/>
        <v>0</v>
      </c>
    </row>
    <row r="18" spans="1:14" ht="18" customHeight="1" x14ac:dyDescent="0.2">
      <c r="A18" s="58">
        <v>11</v>
      </c>
      <c r="B18" s="66"/>
      <c r="C18" s="67"/>
      <c r="D18" s="14"/>
      <c r="E18" s="41">
        <v>0.375</v>
      </c>
      <c r="F18" s="11" t="b">
        <f t="shared" si="0"/>
        <v>0</v>
      </c>
      <c r="G18" s="11">
        <f t="shared" si="1"/>
        <v>0.25</v>
      </c>
      <c r="H18" s="11">
        <f t="shared" si="2"/>
        <v>0.25</v>
      </c>
      <c r="I18" s="11">
        <f t="shared" si="13"/>
        <v>0.5</v>
      </c>
      <c r="J18" s="41">
        <v>0.91666666666666696</v>
      </c>
      <c r="K18" s="11" t="b">
        <f t="shared" si="11"/>
        <v>0</v>
      </c>
      <c r="L18" s="11" t="b">
        <f t="shared" si="12"/>
        <v>0</v>
      </c>
      <c r="M18" s="12">
        <v>0</v>
      </c>
      <c r="N18" s="13">
        <f t="shared" si="6"/>
        <v>0</v>
      </c>
    </row>
    <row r="19" spans="1:14" ht="18" customHeight="1" x14ac:dyDescent="0.2">
      <c r="A19" s="58">
        <v>12</v>
      </c>
      <c r="B19" s="66"/>
      <c r="C19" s="67"/>
      <c r="D19" s="14"/>
      <c r="E19" s="41">
        <v>0.375</v>
      </c>
      <c r="F19" s="11" t="b">
        <f t="shared" si="7"/>
        <v>0</v>
      </c>
      <c r="G19" s="11">
        <f t="shared" si="8"/>
        <v>0.25</v>
      </c>
      <c r="H19" s="11">
        <f t="shared" si="9"/>
        <v>0.25</v>
      </c>
      <c r="I19" s="11">
        <f t="shared" si="13"/>
        <v>0.5</v>
      </c>
      <c r="J19" s="41">
        <v>0.91666666666666696</v>
      </c>
      <c r="K19" s="11" t="b">
        <f t="shared" si="11"/>
        <v>0</v>
      </c>
      <c r="L19" s="11" t="b">
        <f t="shared" si="12"/>
        <v>0</v>
      </c>
      <c r="M19" s="12">
        <v>0</v>
      </c>
      <c r="N19" s="13">
        <f>$N$42*M19</f>
        <v>0</v>
      </c>
    </row>
    <row r="20" spans="1:14" ht="18" customHeight="1" x14ac:dyDescent="0.2">
      <c r="A20" s="58">
        <v>13</v>
      </c>
      <c r="B20" s="66"/>
      <c r="C20" s="67"/>
      <c r="D20" s="14"/>
      <c r="E20" s="41">
        <v>0.375</v>
      </c>
      <c r="F20" s="11" t="b">
        <f t="shared" si="0"/>
        <v>0</v>
      </c>
      <c r="G20" s="11">
        <f t="shared" si="1"/>
        <v>0.25</v>
      </c>
      <c r="H20" s="11">
        <f t="shared" si="2"/>
        <v>0.25</v>
      </c>
      <c r="I20" s="11">
        <f t="shared" si="13"/>
        <v>0.5</v>
      </c>
      <c r="J20" s="41">
        <v>0.91666666666666696</v>
      </c>
      <c r="K20" s="11" t="b">
        <f t="shared" si="11"/>
        <v>0</v>
      </c>
      <c r="L20" s="11" t="b">
        <f t="shared" si="12"/>
        <v>0</v>
      </c>
      <c r="M20" s="12">
        <v>0</v>
      </c>
      <c r="N20" s="13">
        <f>$N$42*M20</f>
        <v>0</v>
      </c>
    </row>
    <row r="21" spans="1:14" ht="18" customHeight="1" x14ac:dyDescent="0.2">
      <c r="A21" s="55">
        <v>14</v>
      </c>
      <c r="B21" s="66"/>
      <c r="C21" s="67"/>
      <c r="D21" s="14"/>
      <c r="E21" s="41">
        <v>0.375</v>
      </c>
      <c r="F21" s="11" t="b">
        <f t="shared" si="7"/>
        <v>0</v>
      </c>
      <c r="G21" s="11">
        <f t="shared" si="8"/>
        <v>0.25</v>
      </c>
      <c r="H21" s="11">
        <f t="shared" si="9"/>
        <v>0.25</v>
      </c>
      <c r="I21" s="11">
        <f t="shared" si="13"/>
        <v>0.5</v>
      </c>
      <c r="J21" s="41">
        <v>0.91666666666666696</v>
      </c>
      <c r="K21" s="11" t="b">
        <f t="shared" si="11"/>
        <v>0</v>
      </c>
      <c r="L21" s="11" t="b">
        <f t="shared" si="12"/>
        <v>0</v>
      </c>
      <c r="M21" s="12">
        <v>0</v>
      </c>
      <c r="N21" s="13">
        <f t="shared" ref="N21:N22" si="16">$N$42*M21</f>
        <v>0</v>
      </c>
    </row>
    <row r="22" spans="1:14" ht="18" customHeight="1" x14ac:dyDescent="0.2">
      <c r="A22" s="56">
        <v>15</v>
      </c>
      <c r="B22" s="66"/>
      <c r="C22" s="67"/>
      <c r="D22" s="14"/>
      <c r="E22" s="41">
        <v>0.375</v>
      </c>
      <c r="F22" s="11" t="b">
        <f t="shared" si="0"/>
        <v>0</v>
      </c>
      <c r="G22" s="11">
        <f t="shared" si="1"/>
        <v>0.25</v>
      </c>
      <c r="H22" s="11">
        <f t="shared" si="2"/>
        <v>0.25</v>
      </c>
      <c r="I22" s="11">
        <f t="shared" si="13"/>
        <v>0.5</v>
      </c>
      <c r="J22" s="41">
        <v>0.91666666666666696</v>
      </c>
      <c r="K22" s="11" t="b">
        <f t="shared" si="11"/>
        <v>0</v>
      </c>
      <c r="L22" s="11" t="b">
        <f t="shared" si="12"/>
        <v>0</v>
      </c>
      <c r="M22" s="12">
        <v>0</v>
      </c>
      <c r="N22" s="13">
        <f t="shared" si="16"/>
        <v>0</v>
      </c>
    </row>
    <row r="23" spans="1:14" ht="18" customHeight="1" x14ac:dyDescent="0.2">
      <c r="A23" s="57">
        <v>16</v>
      </c>
      <c r="B23" s="66"/>
      <c r="C23" s="67"/>
      <c r="D23" s="14"/>
      <c r="E23" s="41">
        <v>0.375</v>
      </c>
      <c r="F23" s="11" t="b">
        <f t="shared" si="7"/>
        <v>0</v>
      </c>
      <c r="G23" s="11">
        <f t="shared" si="8"/>
        <v>0.25</v>
      </c>
      <c r="H23" s="11">
        <f t="shared" si="9"/>
        <v>0.25</v>
      </c>
      <c r="I23" s="11">
        <f t="shared" si="13"/>
        <v>0.5</v>
      </c>
      <c r="J23" s="41">
        <v>0.91666666666666696</v>
      </c>
      <c r="K23" s="11" t="b">
        <f t="shared" si="11"/>
        <v>0</v>
      </c>
      <c r="L23" s="11" t="b">
        <f t="shared" si="12"/>
        <v>0</v>
      </c>
      <c r="M23" s="12">
        <v>0</v>
      </c>
      <c r="N23" s="13">
        <f t="shared" ref="N23:N31" si="17">$N$42*M23</f>
        <v>0</v>
      </c>
    </row>
    <row r="24" spans="1:14" ht="18" customHeight="1" x14ac:dyDescent="0.2">
      <c r="A24" s="58">
        <v>17</v>
      </c>
      <c r="B24" s="66"/>
      <c r="C24" s="67"/>
      <c r="D24" s="14"/>
      <c r="E24" s="41">
        <v>0.375</v>
      </c>
      <c r="F24" s="11" t="b">
        <f t="shared" si="0"/>
        <v>0</v>
      </c>
      <c r="G24" s="11">
        <f t="shared" si="1"/>
        <v>0.25</v>
      </c>
      <c r="H24" s="11">
        <f t="shared" si="2"/>
        <v>0.25</v>
      </c>
      <c r="I24" s="11">
        <f t="shared" si="13"/>
        <v>0.5</v>
      </c>
      <c r="J24" s="41">
        <v>0.91666666666666696</v>
      </c>
      <c r="K24" s="11" t="b">
        <f t="shared" ref="K24:K32" si="18">(IF(J24&gt;13,25%))</f>
        <v>0</v>
      </c>
      <c r="L24" s="11" t="b">
        <f t="shared" ref="L24:L32" si="19">(IF(J24&gt;20,25%))</f>
        <v>0</v>
      </c>
      <c r="M24" s="12">
        <v>0</v>
      </c>
      <c r="N24" s="13">
        <f t="shared" si="17"/>
        <v>0</v>
      </c>
    </row>
    <row r="25" spans="1:14" ht="18" customHeight="1" x14ac:dyDescent="0.2">
      <c r="A25" s="58">
        <v>18</v>
      </c>
      <c r="B25" s="66"/>
      <c r="C25" s="67"/>
      <c r="D25" s="14"/>
      <c r="E25" s="41">
        <v>0.375</v>
      </c>
      <c r="F25" s="11" t="b">
        <f t="shared" si="7"/>
        <v>0</v>
      </c>
      <c r="G25" s="11">
        <f t="shared" si="8"/>
        <v>0.25</v>
      </c>
      <c r="H25" s="11">
        <f t="shared" si="9"/>
        <v>0.25</v>
      </c>
      <c r="I25" s="11">
        <f t="shared" si="13"/>
        <v>0.5</v>
      </c>
      <c r="J25" s="41">
        <v>0.91666666666666696</v>
      </c>
      <c r="K25" s="11" t="b">
        <f t="shared" si="18"/>
        <v>0</v>
      </c>
      <c r="L25" s="11" t="b">
        <f t="shared" si="19"/>
        <v>0</v>
      </c>
      <c r="M25" s="12">
        <v>0</v>
      </c>
      <c r="N25" s="13">
        <f t="shared" si="17"/>
        <v>0</v>
      </c>
    </row>
    <row r="26" spans="1:14" ht="18" customHeight="1" x14ac:dyDescent="0.2">
      <c r="A26" s="58">
        <v>19</v>
      </c>
      <c r="B26" s="66"/>
      <c r="C26" s="67"/>
      <c r="D26" s="14"/>
      <c r="E26" s="41">
        <v>0.375</v>
      </c>
      <c r="F26" s="11" t="b">
        <f t="shared" si="0"/>
        <v>0</v>
      </c>
      <c r="G26" s="11">
        <f t="shared" si="1"/>
        <v>0.25</v>
      </c>
      <c r="H26" s="11">
        <f t="shared" si="2"/>
        <v>0.25</v>
      </c>
      <c r="I26" s="11">
        <f t="shared" si="13"/>
        <v>0.5</v>
      </c>
      <c r="J26" s="41">
        <v>0.91666666666666696</v>
      </c>
      <c r="K26" s="11" t="b">
        <f t="shared" si="18"/>
        <v>0</v>
      </c>
      <c r="L26" s="11" t="b">
        <f t="shared" si="19"/>
        <v>0</v>
      </c>
      <c r="M26" s="12">
        <v>0</v>
      </c>
      <c r="N26" s="13">
        <f t="shared" si="17"/>
        <v>0</v>
      </c>
    </row>
    <row r="27" spans="1:14" ht="18" customHeight="1" x14ac:dyDescent="0.2">
      <c r="A27" s="58">
        <v>20</v>
      </c>
      <c r="B27" s="66"/>
      <c r="C27" s="67"/>
      <c r="D27" s="14"/>
      <c r="E27" s="41">
        <v>0.375</v>
      </c>
      <c r="F27" s="11" t="b">
        <f t="shared" si="7"/>
        <v>0</v>
      </c>
      <c r="G27" s="11">
        <f t="shared" si="8"/>
        <v>0.25</v>
      </c>
      <c r="H27" s="11">
        <f t="shared" si="9"/>
        <v>0.25</v>
      </c>
      <c r="I27" s="11">
        <f t="shared" si="13"/>
        <v>0.5</v>
      </c>
      <c r="J27" s="41">
        <v>0.91666666666666696</v>
      </c>
      <c r="K27" s="11" t="b">
        <f t="shared" si="18"/>
        <v>0</v>
      </c>
      <c r="L27" s="11" t="b">
        <f t="shared" si="19"/>
        <v>0</v>
      </c>
      <c r="M27" s="12">
        <v>0</v>
      </c>
      <c r="N27" s="13">
        <f t="shared" si="17"/>
        <v>0</v>
      </c>
    </row>
    <row r="28" spans="1:14" ht="18" customHeight="1" x14ac:dyDescent="0.2">
      <c r="A28" s="55">
        <v>21</v>
      </c>
      <c r="B28" s="66"/>
      <c r="C28" s="67"/>
      <c r="D28" s="14"/>
      <c r="E28" s="41">
        <v>0.375</v>
      </c>
      <c r="F28" s="11" t="b">
        <f t="shared" si="0"/>
        <v>0</v>
      </c>
      <c r="G28" s="11">
        <f t="shared" si="1"/>
        <v>0.25</v>
      </c>
      <c r="H28" s="11">
        <f t="shared" si="2"/>
        <v>0.25</v>
      </c>
      <c r="I28" s="11">
        <f t="shared" si="13"/>
        <v>0.5</v>
      </c>
      <c r="J28" s="41">
        <v>0.91666666666666696</v>
      </c>
      <c r="K28" s="11" t="b">
        <f t="shared" si="18"/>
        <v>0</v>
      </c>
      <c r="L28" s="11" t="b">
        <f t="shared" si="19"/>
        <v>0</v>
      </c>
      <c r="M28" s="12">
        <v>0</v>
      </c>
      <c r="N28" s="13">
        <f t="shared" si="17"/>
        <v>0</v>
      </c>
    </row>
    <row r="29" spans="1:14" ht="18" customHeight="1" x14ac:dyDescent="0.2">
      <c r="A29" s="56">
        <v>22</v>
      </c>
      <c r="B29" s="66"/>
      <c r="C29" s="67"/>
      <c r="D29" s="14"/>
      <c r="E29" s="41">
        <v>0.375</v>
      </c>
      <c r="F29" s="11" t="b">
        <f t="shared" si="7"/>
        <v>0</v>
      </c>
      <c r="G29" s="11">
        <f t="shared" si="8"/>
        <v>0.25</v>
      </c>
      <c r="H29" s="11">
        <f t="shared" si="9"/>
        <v>0.25</v>
      </c>
      <c r="I29" s="11">
        <f t="shared" si="13"/>
        <v>0.5</v>
      </c>
      <c r="J29" s="41">
        <v>0.91666666666666696</v>
      </c>
      <c r="K29" s="11" t="b">
        <f t="shared" si="18"/>
        <v>0</v>
      </c>
      <c r="L29" s="11" t="b">
        <f t="shared" si="19"/>
        <v>0</v>
      </c>
      <c r="M29" s="12">
        <v>0</v>
      </c>
      <c r="N29" s="13">
        <f t="shared" si="17"/>
        <v>0</v>
      </c>
    </row>
    <row r="30" spans="1:14" ht="18" customHeight="1" x14ac:dyDescent="0.2">
      <c r="A30" s="57">
        <v>23</v>
      </c>
      <c r="B30" s="66"/>
      <c r="C30" s="67"/>
      <c r="D30" s="14"/>
      <c r="E30" s="41">
        <v>0.375</v>
      </c>
      <c r="F30" s="11" t="b">
        <f t="shared" si="0"/>
        <v>0</v>
      </c>
      <c r="G30" s="11">
        <f t="shared" si="1"/>
        <v>0.25</v>
      </c>
      <c r="H30" s="11">
        <f t="shared" si="2"/>
        <v>0.25</v>
      </c>
      <c r="I30" s="11">
        <f t="shared" si="13"/>
        <v>0.5</v>
      </c>
      <c r="J30" s="41">
        <v>0.91666666666666696</v>
      </c>
      <c r="K30" s="11" t="b">
        <f t="shared" si="18"/>
        <v>0</v>
      </c>
      <c r="L30" s="11" t="b">
        <f t="shared" si="19"/>
        <v>0</v>
      </c>
      <c r="M30" s="12">
        <v>0</v>
      </c>
      <c r="N30" s="13">
        <f t="shared" si="17"/>
        <v>0</v>
      </c>
    </row>
    <row r="31" spans="1:14" ht="18" customHeight="1" x14ac:dyDescent="0.2">
      <c r="A31" s="58">
        <v>24</v>
      </c>
      <c r="B31" s="66"/>
      <c r="C31" s="67"/>
      <c r="D31" s="14"/>
      <c r="E31" s="41">
        <v>0.375</v>
      </c>
      <c r="F31" s="11" t="b">
        <f t="shared" si="7"/>
        <v>0</v>
      </c>
      <c r="G31" s="11">
        <f t="shared" si="8"/>
        <v>0.25</v>
      </c>
      <c r="H31" s="11">
        <f t="shared" si="9"/>
        <v>0.25</v>
      </c>
      <c r="I31" s="11">
        <f t="shared" si="13"/>
        <v>0.5</v>
      </c>
      <c r="J31" s="41">
        <v>0.91666666666666696</v>
      </c>
      <c r="K31" s="11" t="b">
        <f t="shared" si="18"/>
        <v>0</v>
      </c>
      <c r="L31" s="11" t="b">
        <f t="shared" si="19"/>
        <v>0</v>
      </c>
      <c r="M31" s="12">
        <v>0</v>
      </c>
      <c r="N31" s="13">
        <f t="shared" si="17"/>
        <v>0</v>
      </c>
    </row>
    <row r="32" spans="1:14" ht="18" customHeight="1" x14ac:dyDescent="0.2">
      <c r="A32" s="58">
        <v>25</v>
      </c>
      <c r="B32" s="66"/>
      <c r="C32" s="67"/>
      <c r="D32" s="14"/>
      <c r="E32" s="41">
        <v>0.375</v>
      </c>
      <c r="F32" s="11" t="b">
        <f t="shared" si="0"/>
        <v>0</v>
      </c>
      <c r="G32" s="11">
        <f t="shared" si="1"/>
        <v>0.25</v>
      </c>
      <c r="H32" s="11">
        <f t="shared" si="2"/>
        <v>0.25</v>
      </c>
      <c r="I32" s="11">
        <f t="shared" si="13"/>
        <v>0.5</v>
      </c>
      <c r="J32" s="41">
        <v>0.91666666666666696</v>
      </c>
      <c r="K32" s="11" t="b">
        <f t="shared" si="18"/>
        <v>0</v>
      </c>
      <c r="L32" s="11" t="b">
        <f t="shared" si="19"/>
        <v>0</v>
      </c>
      <c r="M32" s="12">
        <v>0</v>
      </c>
      <c r="N32" s="13">
        <f>$N$42*M32</f>
        <v>0</v>
      </c>
    </row>
    <row r="33" spans="1:14" ht="18" customHeight="1" x14ac:dyDescent="0.2">
      <c r="A33" s="58">
        <v>26</v>
      </c>
      <c r="B33" s="66"/>
      <c r="C33" s="67"/>
      <c r="D33" s="14"/>
      <c r="E33" s="41">
        <v>0.375</v>
      </c>
      <c r="F33" s="11" t="b">
        <f t="shared" si="7"/>
        <v>0</v>
      </c>
      <c r="G33" s="11">
        <f t="shared" si="8"/>
        <v>0.25</v>
      </c>
      <c r="H33" s="11">
        <f t="shared" si="9"/>
        <v>0.25</v>
      </c>
      <c r="I33" s="11">
        <f t="shared" si="13"/>
        <v>0.5</v>
      </c>
      <c r="J33" s="41">
        <v>0.91666666666666696</v>
      </c>
      <c r="K33" s="11" t="b">
        <f t="shared" ref="K33:K35" si="20">(IF(J33&gt;13,25%))</f>
        <v>0</v>
      </c>
      <c r="L33" s="11" t="b">
        <f t="shared" ref="L33:L35" si="21">(IF(J33&gt;20,25%))</f>
        <v>0</v>
      </c>
      <c r="M33" s="12">
        <v>0</v>
      </c>
      <c r="N33" s="13">
        <f t="shared" ref="N33:N35" si="22">$N$42*M33</f>
        <v>0</v>
      </c>
    </row>
    <row r="34" spans="1:14" ht="18" customHeight="1" x14ac:dyDescent="0.2">
      <c r="A34" s="58">
        <v>27</v>
      </c>
      <c r="B34" s="66"/>
      <c r="C34" s="67"/>
      <c r="D34" s="14"/>
      <c r="E34" s="41">
        <v>0.375</v>
      </c>
      <c r="F34" s="11" t="b">
        <f t="shared" si="0"/>
        <v>0</v>
      </c>
      <c r="G34" s="11">
        <f t="shared" si="1"/>
        <v>0.25</v>
      </c>
      <c r="H34" s="11">
        <f t="shared" si="2"/>
        <v>0.25</v>
      </c>
      <c r="I34" s="11">
        <f t="shared" si="13"/>
        <v>0.5</v>
      </c>
      <c r="J34" s="41">
        <v>0.91666666666666696</v>
      </c>
      <c r="K34" s="11" t="b">
        <f t="shared" si="20"/>
        <v>0</v>
      </c>
      <c r="L34" s="11" t="b">
        <f t="shared" si="21"/>
        <v>0</v>
      </c>
      <c r="M34" s="12">
        <v>0</v>
      </c>
      <c r="N34" s="13">
        <f t="shared" si="22"/>
        <v>0</v>
      </c>
    </row>
    <row r="35" spans="1:14" ht="18" customHeight="1" x14ac:dyDescent="0.2">
      <c r="A35" s="55">
        <v>28</v>
      </c>
      <c r="B35" s="66"/>
      <c r="C35" s="67"/>
      <c r="D35" s="14"/>
      <c r="E35" s="41">
        <v>0.375</v>
      </c>
      <c r="F35" s="11" t="b">
        <f t="shared" si="7"/>
        <v>0</v>
      </c>
      <c r="G35" s="11">
        <f t="shared" si="8"/>
        <v>0.25</v>
      </c>
      <c r="H35" s="11">
        <f t="shared" si="9"/>
        <v>0.25</v>
      </c>
      <c r="I35" s="11">
        <f t="shared" si="13"/>
        <v>0.5</v>
      </c>
      <c r="J35" s="41">
        <v>0.91666666666666696</v>
      </c>
      <c r="K35" s="11" t="b">
        <f t="shared" si="20"/>
        <v>0</v>
      </c>
      <c r="L35" s="11" t="b">
        <f t="shared" si="21"/>
        <v>0</v>
      </c>
      <c r="M35" s="12">
        <v>0</v>
      </c>
      <c r="N35" s="13">
        <f t="shared" si="22"/>
        <v>0</v>
      </c>
    </row>
    <row r="36" spans="1:14" ht="18" customHeight="1" x14ac:dyDescent="0.2">
      <c r="A36" s="56">
        <v>29</v>
      </c>
      <c r="B36" s="66"/>
      <c r="C36" s="67"/>
      <c r="D36" s="14"/>
      <c r="E36" s="41">
        <v>0.375</v>
      </c>
      <c r="F36" s="11" t="b">
        <f t="shared" si="0"/>
        <v>0</v>
      </c>
      <c r="G36" s="11">
        <f t="shared" si="1"/>
        <v>0.25</v>
      </c>
      <c r="H36" s="11">
        <f t="shared" si="2"/>
        <v>0.25</v>
      </c>
      <c r="I36" s="11">
        <f t="shared" si="13"/>
        <v>0.5</v>
      </c>
      <c r="J36" s="41">
        <v>0.91666666666666696</v>
      </c>
      <c r="K36" s="11" t="b">
        <f t="shared" ref="K36:K37" si="23">(IF(J36&gt;13,25%))</f>
        <v>0</v>
      </c>
      <c r="L36" s="11" t="b">
        <f t="shared" ref="L36:L37" si="24">(IF(J36&gt;20,25%))</f>
        <v>0</v>
      </c>
      <c r="M36" s="12">
        <v>0</v>
      </c>
      <c r="N36" s="13">
        <f t="shared" ref="N36:N37" si="25">$N$42*M36</f>
        <v>0</v>
      </c>
    </row>
    <row r="37" spans="1:14" ht="18" customHeight="1" x14ac:dyDescent="0.2">
      <c r="A37" s="57">
        <v>30</v>
      </c>
      <c r="B37" s="66"/>
      <c r="C37" s="67"/>
      <c r="D37" s="14"/>
      <c r="E37" s="41">
        <v>0.375</v>
      </c>
      <c r="F37" s="11" t="b">
        <f t="shared" si="7"/>
        <v>0</v>
      </c>
      <c r="G37" s="11">
        <f t="shared" si="8"/>
        <v>0.25</v>
      </c>
      <c r="H37" s="11">
        <f t="shared" si="9"/>
        <v>0.25</v>
      </c>
      <c r="I37" s="11">
        <f t="shared" si="13"/>
        <v>0.5</v>
      </c>
      <c r="J37" s="41">
        <v>0.91666666666666696</v>
      </c>
      <c r="K37" s="11" t="b">
        <f t="shared" si="23"/>
        <v>0</v>
      </c>
      <c r="L37" s="11" t="b">
        <f t="shared" si="24"/>
        <v>0</v>
      </c>
      <c r="M37" s="12">
        <v>0</v>
      </c>
      <c r="N37" s="13">
        <f t="shared" si="25"/>
        <v>0</v>
      </c>
    </row>
    <row r="38" spans="1:14" ht="18" customHeight="1" thickBot="1" x14ac:dyDescent="0.25">
      <c r="A38" s="58">
        <v>31</v>
      </c>
      <c r="B38" s="35"/>
      <c r="C38" s="36"/>
      <c r="D38" s="14"/>
      <c r="E38" s="41">
        <v>0.375</v>
      </c>
      <c r="F38" s="11" t="b">
        <f t="shared" si="0"/>
        <v>0</v>
      </c>
      <c r="G38" s="11">
        <f t="shared" si="1"/>
        <v>0.25</v>
      </c>
      <c r="H38" s="11">
        <f t="shared" si="2"/>
        <v>0.25</v>
      </c>
      <c r="I38" s="11">
        <f t="shared" si="13"/>
        <v>0.5</v>
      </c>
      <c r="J38" s="41">
        <v>0.91666666666666696</v>
      </c>
      <c r="K38" s="11" t="b">
        <f t="shared" ref="K38" si="26">(IF(J38&gt;13,25%))</f>
        <v>0</v>
      </c>
      <c r="L38" s="11" t="b">
        <f t="shared" ref="L38" si="27">(IF(J38&gt;20,25%))</f>
        <v>0</v>
      </c>
      <c r="M38" s="12">
        <v>0</v>
      </c>
      <c r="N38" s="13">
        <f t="shared" ref="N38" si="28">$N$42*M38</f>
        <v>0</v>
      </c>
    </row>
    <row r="39" spans="1:14" ht="23.1" customHeight="1" thickBot="1" x14ac:dyDescent="0.25">
      <c r="A39" s="38" t="s">
        <v>16</v>
      </c>
      <c r="B39" s="47"/>
      <c r="F39" s="15"/>
      <c r="G39" s="15"/>
      <c r="H39" s="15"/>
      <c r="I39" s="15"/>
      <c r="J39" s="15"/>
      <c r="K39" s="15"/>
      <c r="L39" s="16"/>
      <c r="M39" s="17" t="s">
        <v>17</v>
      </c>
      <c r="N39" s="18">
        <f>SUM(N8:N38)</f>
        <v>0</v>
      </c>
    </row>
    <row r="40" spans="1:14" ht="14.1" customHeight="1" x14ac:dyDescent="0.2"/>
    <row r="41" spans="1:14" ht="14.1" customHeight="1" x14ac:dyDescent="0.2">
      <c r="A41" s="48"/>
      <c r="B41" s="49" t="s">
        <v>18</v>
      </c>
      <c r="C41" s="49"/>
      <c r="H41" s="50"/>
    </row>
    <row r="42" spans="1:14" ht="18" customHeight="1" x14ac:dyDescent="0.25">
      <c r="A42" s="40" t="s">
        <v>19</v>
      </c>
      <c r="B42" s="62"/>
      <c r="C42" s="63"/>
      <c r="D42" s="64"/>
      <c r="F42" s="51"/>
      <c r="H42" s="50"/>
      <c r="I42" s="20"/>
      <c r="M42" s="21" t="s">
        <v>20</v>
      </c>
      <c r="N42" s="22">
        <v>72.650000000000006</v>
      </c>
    </row>
    <row r="43" spans="1:14" ht="18" customHeight="1" x14ac:dyDescent="0.25">
      <c r="A43" s="40" t="s">
        <v>21</v>
      </c>
      <c r="B43" s="62"/>
      <c r="C43" s="63"/>
      <c r="D43" s="64"/>
      <c r="F43" s="51"/>
      <c r="H43" s="50"/>
      <c r="I43" s="23"/>
      <c r="N43" s="24" t="s">
        <v>22</v>
      </c>
    </row>
    <row r="44" spans="1:14" ht="18" customHeight="1" x14ac:dyDescent="0.25">
      <c r="A44" s="52"/>
      <c r="B44" s="53"/>
      <c r="C44" s="19" t="s">
        <v>23</v>
      </c>
      <c r="D44" s="54"/>
      <c r="F44" s="50"/>
      <c r="G44" s="50"/>
      <c r="H44" s="50"/>
    </row>
    <row r="45" spans="1:14" ht="9.75" customHeight="1" x14ac:dyDescent="0.2">
      <c r="A45" s="52"/>
      <c r="B45" s="53"/>
      <c r="C45" s="53"/>
      <c r="F45" s="50"/>
      <c r="G45" s="50"/>
      <c r="H45" s="50"/>
    </row>
    <row r="46" spans="1:14" ht="14.1" customHeight="1" x14ac:dyDescent="0.25">
      <c r="B46" s="25" t="s">
        <v>24</v>
      </c>
      <c r="C46" s="26"/>
    </row>
    <row r="47" spans="1:14" ht="20.25" customHeight="1" x14ac:dyDescent="0.2">
      <c r="B47" s="27" t="s">
        <v>25</v>
      </c>
      <c r="C47" s="65" t="s">
        <v>26</v>
      </c>
      <c r="D47" s="65"/>
      <c r="E47" s="65"/>
      <c r="F47" s="28"/>
      <c r="G47" s="28"/>
      <c r="H47" s="28"/>
      <c r="M47" s="29" t="s">
        <v>27</v>
      </c>
      <c r="N47" s="30"/>
    </row>
    <row r="48" spans="1:14" ht="14.1" customHeight="1" x14ac:dyDescent="0.25">
      <c r="B48" s="31"/>
      <c r="C48" s="32"/>
      <c r="D48" s="20"/>
      <c r="E48" s="20"/>
      <c r="F48" s="20"/>
      <c r="G48" s="20"/>
      <c r="H48" s="20"/>
      <c r="I48" s="20"/>
      <c r="J48" s="20"/>
      <c r="K48" s="20"/>
      <c r="L48" s="20"/>
      <c r="M48" s="33"/>
    </row>
    <row r="49" spans="1:14" x14ac:dyDescent="0.2">
      <c r="A49" s="59" t="s">
        <v>28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</row>
    <row r="50" spans="1:14" x14ac:dyDescent="0.2">
      <c r="C50" s="34"/>
    </row>
  </sheetData>
  <mergeCells count="45">
    <mergeCell ref="N6:N7"/>
    <mergeCell ref="B7:C7"/>
    <mergeCell ref="A6:A7"/>
    <mergeCell ref="B6:C6"/>
    <mergeCell ref="E6:I6"/>
    <mergeCell ref="B14:C14"/>
    <mergeCell ref="B15:C15"/>
    <mergeCell ref="B16:C16"/>
    <mergeCell ref="B17:C17"/>
    <mergeCell ref="J6:L6"/>
    <mergeCell ref="J1:N1"/>
    <mergeCell ref="A2:D2"/>
    <mergeCell ref="J2:N2"/>
    <mergeCell ref="A3:D3"/>
    <mergeCell ref="J4:M4"/>
    <mergeCell ref="B37:C37"/>
    <mergeCell ref="B27:C27"/>
    <mergeCell ref="B18:C18"/>
    <mergeCell ref="B29:C29"/>
    <mergeCell ref="B30:C30"/>
    <mergeCell ref="B21:C21"/>
    <mergeCell ref="B22:C22"/>
    <mergeCell ref="B23:C23"/>
    <mergeCell ref="B24:C24"/>
    <mergeCell ref="B26:C26"/>
    <mergeCell ref="B35:C35"/>
    <mergeCell ref="B36:C36"/>
    <mergeCell ref="B25:C25"/>
    <mergeCell ref="B19:C19"/>
    <mergeCell ref="A49:N49"/>
    <mergeCell ref="B42:D42"/>
    <mergeCell ref="B43:D43"/>
    <mergeCell ref="C47:E47"/>
    <mergeCell ref="B8:C8"/>
    <mergeCell ref="B32:C32"/>
    <mergeCell ref="B33:C33"/>
    <mergeCell ref="B34:C34"/>
    <mergeCell ref="B31:C31"/>
    <mergeCell ref="B9:C9"/>
    <mergeCell ref="B10:C10"/>
    <mergeCell ref="B11:C11"/>
    <mergeCell ref="B12:C12"/>
    <mergeCell ref="B28:C28"/>
    <mergeCell ref="B13:C13"/>
    <mergeCell ref="B20:C20"/>
  </mergeCells>
  <printOptions horizontalCentered="1" verticalCentered="1" gridLinesSet="0"/>
  <pageMargins left="0.71" right="0.39370078740157483" top="0.34" bottom="0.45" header="0.28999999999999998" footer="0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Ajudas Custo</vt:lpstr>
      <vt:lpstr>Folha2</vt:lpstr>
      <vt:lpstr>'Ajudas Custo'!Área_de_Impressão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Posto04</dc:creator>
  <cp:keywords/>
  <dc:description/>
  <cp:lastModifiedBy>Mariana Quintela | Fenómeno Numérico</cp:lastModifiedBy>
  <cp:revision/>
  <dcterms:created xsi:type="dcterms:W3CDTF">2013-08-02T14:27:44Z</dcterms:created>
  <dcterms:modified xsi:type="dcterms:W3CDTF">2026-03-18T17:38:05Z</dcterms:modified>
  <cp:category/>
  <cp:contentStatus/>
</cp:coreProperties>
</file>